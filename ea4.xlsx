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k\Desktop\"/>
    </mc:Choice>
  </mc:AlternateContent>
  <bookViews>
    <workbookView xWindow="0" yWindow="0" windowWidth="25200" windowHeight="11880"/>
  </bookViews>
  <sheets>
    <sheet name="Munka1" sheetId="1" r:id="rId1"/>
  </sheets>
  <calcPr calcId="162913"/>
  <fileRecoveryPr repairLoad="1"/>
</workbook>
</file>

<file path=xl/calcChain.xml><?xml version="1.0" encoding="utf-8"?>
<calcChain xmlns="http://schemas.openxmlformats.org/spreadsheetml/2006/main">
  <c r="C46" i="1" l="1"/>
  <c r="C47" i="1"/>
  <c r="C45" i="1"/>
  <c r="C44" i="1"/>
  <c r="C43" i="1"/>
  <c r="C32" i="1"/>
  <c r="C31" i="1"/>
  <c r="C30" i="1" l="1"/>
  <c r="D29" i="1"/>
  <c r="C29" i="1"/>
  <c r="C28" i="1"/>
  <c r="C27" i="1"/>
</calcChain>
</file>

<file path=xl/sharedStrings.xml><?xml version="1.0" encoding="utf-8"?>
<sst xmlns="http://schemas.openxmlformats.org/spreadsheetml/2006/main" count="42" uniqueCount="39">
  <si>
    <t xml:space="preserve">π = </t>
  </si>
  <si>
    <t>minta adatai (nap)</t>
  </si>
  <si>
    <t>A) Készítsen becslést az átlagos tanulási időre!</t>
  </si>
  <si>
    <t>B) Becsülje meg az átlagos tanulási idő szórását!</t>
  </si>
  <si>
    <t>kiválasztási arány nem ismert, nem kell korrekció</t>
  </si>
  <si>
    <t>Várható érték</t>
  </si>
  <si>
    <t>Standard hiba</t>
  </si>
  <si>
    <t>Medián</t>
  </si>
  <si>
    <t>Módusz</t>
  </si>
  <si>
    <t>Szórás</t>
  </si>
  <si>
    <t>Minta varianciája</t>
  </si>
  <si>
    <t>Csúcsosság</t>
  </si>
  <si>
    <t>Ferdeség</t>
  </si>
  <si>
    <t>Tartomány</t>
  </si>
  <si>
    <t>Minimum</t>
  </si>
  <si>
    <t>Maximum</t>
  </si>
  <si>
    <t>Összeg</t>
  </si>
  <si>
    <t>Darabszám</t>
  </si>
  <si>
    <t>Konfidenciaszint(95,0%)</t>
  </si>
  <si>
    <t>Feltétel: normál eloszlású sokaság</t>
  </si>
  <si>
    <t>Képlet: várható értékbecslés 2-es képlet</t>
  </si>
  <si>
    <t>valvál (t pi):</t>
  </si>
  <si>
    <t>pontbecslés (x atlag):</t>
  </si>
  <si>
    <t>standard hiba (s x atlag):</t>
  </si>
  <si>
    <t>max.hiba</t>
  </si>
  <si>
    <t>n</t>
  </si>
  <si>
    <t>max.hiba:</t>
  </si>
  <si>
    <t>konfidencia intervallum alsó értéke:</t>
  </si>
  <si>
    <t>konfidencia intervallum felső értéke:</t>
  </si>
  <si>
    <t>KI értelmezése:</t>
  </si>
  <si>
    <t>95%-os megbízhatósággal azt állíthatuk, hogy a diákok felkészülési ideje a vzsgára 7,46 és 10,54 nap közé esik.</t>
  </si>
  <si>
    <t>standard hiba értelmezése:</t>
  </si>
  <si>
    <t>Az egyes diákokból vett minták átlagos felkészülési ideje a sokasági átlagtól átlagosan 0,72 nappal tér el.</t>
  </si>
  <si>
    <t>Típus: szórásbecslés</t>
  </si>
  <si>
    <t>Feltétel: normális eloszlás</t>
  </si>
  <si>
    <t>számláló ((n-1)*s^2):</t>
  </si>
  <si>
    <t>valvál1:</t>
  </si>
  <si>
    <t>valvál2:</t>
  </si>
  <si>
    <t>szoras negyzet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</si>
</sst>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00"/>
  </numFmts>
  <fonts count="2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0" xfId="0" applyFill="1" applyAlignment="1"/>
    <xf numFmtId="170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10" zoomScale="85" zoomScaleNormal="85" workbookViewId="0">
      <selection activeCell="D49" sqref="D49"/>
    </sheetView>
  </sheetViews>
  <sheetFormatPr defaultRowHeight="15" x14ac:dyDescent="0.25"/>
  <cols>
    <col min="1" max="1" width="17.42578125" bestFit="1" customWidth="1"/>
    <col min="2" max="2" width="48" bestFit="1" customWidth="1"/>
    <col min="3" max="3" width="9.7109375" bestFit="1" customWidth="1"/>
    <col min="5" max="5" width="23.28515625" bestFit="1" customWidth="1"/>
    <col min="12" max="12" width="22.7109375" bestFit="1" customWidth="1"/>
  </cols>
  <sheetData>
    <row r="1" spans="1:7" x14ac:dyDescent="0.25">
      <c r="A1" s="3" t="s">
        <v>1</v>
      </c>
      <c r="B1" t="s">
        <v>0</v>
      </c>
      <c r="C1" s="1">
        <v>0.95</v>
      </c>
      <c r="E1" s="7" t="s">
        <v>1</v>
      </c>
      <c r="F1" s="7"/>
    </row>
    <row r="2" spans="1:7" x14ac:dyDescent="0.25">
      <c r="A2" s="2">
        <v>5</v>
      </c>
      <c r="E2" s="5"/>
      <c r="F2" s="5"/>
    </row>
    <row r="3" spans="1:7" x14ac:dyDescent="0.25">
      <c r="A3" s="2">
        <v>8</v>
      </c>
      <c r="E3" s="5" t="s">
        <v>5</v>
      </c>
      <c r="F3" s="5">
        <v>9</v>
      </c>
    </row>
    <row r="4" spans="1:7" x14ac:dyDescent="0.25">
      <c r="A4" s="2">
        <v>12</v>
      </c>
      <c r="E4" s="5" t="s">
        <v>6</v>
      </c>
      <c r="F4" s="5">
        <v>0.71713716560063612</v>
      </c>
    </row>
    <row r="5" spans="1:7" x14ac:dyDescent="0.25">
      <c r="A5" s="2">
        <v>4</v>
      </c>
      <c r="E5" s="5" t="s">
        <v>7</v>
      </c>
      <c r="F5" s="5">
        <v>9</v>
      </c>
    </row>
    <row r="6" spans="1:7" x14ac:dyDescent="0.25">
      <c r="A6" s="2">
        <v>9</v>
      </c>
      <c r="E6" s="5" t="s">
        <v>8</v>
      </c>
      <c r="F6" s="5">
        <v>9</v>
      </c>
    </row>
    <row r="7" spans="1:7" x14ac:dyDescent="0.25">
      <c r="A7" s="2">
        <v>11</v>
      </c>
      <c r="E7" s="5" t="s">
        <v>9</v>
      </c>
      <c r="F7" s="5">
        <v>2.7774602993176543</v>
      </c>
    </row>
    <row r="8" spans="1:7" x14ac:dyDescent="0.25">
      <c r="A8" s="2">
        <v>12</v>
      </c>
      <c r="E8" s="5" t="s">
        <v>10</v>
      </c>
      <c r="F8" s="5">
        <v>7.7142857142857144</v>
      </c>
      <c r="G8" t="s">
        <v>38</v>
      </c>
    </row>
    <row r="9" spans="1:7" x14ac:dyDescent="0.25">
      <c r="A9" s="2">
        <v>14</v>
      </c>
      <c r="E9" s="5" t="s">
        <v>11</v>
      </c>
      <c r="F9" s="5">
        <v>-0.44539411206077784</v>
      </c>
    </row>
    <row r="10" spans="1:7" x14ac:dyDescent="0.25">
      <c r="A10" s="2">
        <v>9</v>
      </c>
      <c r="E10" s="5" t="s">
        <v>12</v>
      </c>
      <c r="F10" s="5">
        <v>-0.11539780445882947</v>
      </c>
    </row>
    <row r="11" spans="1:7" x14ac:dyDescent="0.25">
      <c r="A11" s="2">
        <v>7</v>
      </c>
      <c r="E11" s="5" t="s">
        <v>13</v>
      </c>
      <c r="F11" s="5">
        <v>10</v>
      </c>
    </row>
    <row r="12" spans="1:7" x14ac:dyDescent="0.25">
      <c r="A12" s="2">
        <v>6</v>
      </c>
      <c r="E12" s="5" t="s">
        <v>14</v>
      </c>
      <c r="F12" s="5">
        <v>4</v>
      </c>
    </row>
    <row r="13" spans="1:7" x14ac:dyDescent="0.25">
      <c r="A13" s="2">
        <v>11</v>
      </c>
      <c r="E13" s="5" t="s">
        <v>15</v>
      </c>
      <c r="F13" s="5">
        <v>14</v>
      </c>
    </row>
    <row r="14" spans="1:7" x14ac:dyDescent="0.25">
      <c r="A14" s="2">
        <v>9</v>
      </c>
      <c r="E14" s="5" t="s">
        <v>16</v>
      </c>
      <c r="F14" s="5">
        <v>135</v>
      </c>
    </row>
    <row r="15" spans="1:7" x14ac:dyDescent="0.25">
      <c r="A15" s="2">
        <v>8</v>
      </c>
      <c r="E15" s="5" t="s">
        <v>17</v>
      </c>
      <c r="F15" s="5">
        <v>15</v>
      </c>
      <c r="G15" t="s">
        <v>25</v>
      </c>
    </row>
    <row r="16" spans="1:7" ht="15.75" thickBot="1" x14ac:dyDescent="0.3">
      <c r="A16" s="2">
        <v>10</v>
      </c>
      <c r="E16" s="6" t="s">
        <v>18</v>
      </c>
      <c r="F16" s="6">
        <v>1.5381062461913497</v>
      </c>
      <c r="G16" t="s">
        <v>24</v>
      </c>
    </row>
    <row r="19" spans="1:10" x14ac:dyDescent="0.25">
      <c r="E19" s="8"/>
      <c r="F19" s="8"/>
      <c r="G19" s="8"/>
      <c r="H19" s="8"/>
      <c r="I19" s="8"/>
      <c r="J19" s="8"/>
    </row>
    <row r="22" spans="1:10" x14ac:dyDescent="0.25">
      <c r="A22" s="4" t="s">
        <v>2</v>
      </c>
      <c r="B22" s="4"/>
      <c r="C22" s="8"/>
      <c r="D22" s="8"/>
      <c r="E22" s="8"/>
      <c r="F22" s="8"/>
    </row>
    <row r="24" spans="1:10" x14ac:dyDescent="0.25">
      <c r="B24" t="s">
        <v>19</v>
      </c>
    </row>
    <row r="25" spans="1:10" x14ac:dyDescent="0.25">
      <c r="B25" t="s">
        <v>20</v>
      </c>
    </row>
    <row r="26" spans="1:10" x14ac:dyDescent="0.25">
      <c r="B26" t="s">
        <v>4</v>
      </c>
    </row>
    <row r="27" spans="1:10" x14ac:dyDescent="0.25">
      <c r="B27" t="s">
        <v>22</v>
      </c>
      <c r="C27">
        <f>F3</f>
        <v>9</v>
      </c>
    </row>
    <row r="28" spans="1:10" x14ac:dyDescent="0.25">
      <c r="B28" t="s">
        <v>21</v>
      </c>
      <c r="C28" s="9">
        <f>_xlfn.T.INV((1+0.95)/2,F15-1)</f>
        <v>2.1447866879178035</v>
      </c>
    </row>
    <row r="29" spans="1:10" x14ac:dyDescent="0.25">
      <c r="B29" t="s">
        <v>23</v>
      </c>
      <c r="C29" s="9">
        <f>F4</f>
        <v>0.71713716560063612</v>
      </c>
      <c r="D29" s="9">
        <f>F7/SQRT(F15)</f>
        <v>0.71713716560063612</v>
      </c>
    </row>
    <row r="30" spans="1:10" x14ac:dyDescent="0.25">
      <c r="B30" t="s">
        <v>26</v>
      </c>
      <c r="C30" s="9">
        <f>C28*C29</f>
        <v>1.5381062461913497</v>
      </c>
    </row>
    <row r="31" spans="1:10" x14ac:dyDescent="0.25">
      <c r="B31" t="s">
        <v>27</v>
      </c>
      <c r="C31" s="9">
        <f>C27-C30</f>
        <v>7.4618937538086501</v>
      </c>
    </row>
    <row r="32" spans="1:10" x14ac:dyDescent="0.25">
      <c r="B32" t="s">
        <v>28</v>
      </c>
      <c r="C32">
        <f>C27+C30</f>
        <v>10.538106246191349</v>
      </c>
    </row>
    <row r="33" spans="1:7" x14ac:dyDescent="0.25">
      <c r="B33" t="s">
        <v>29</v>
      </c>
      <c r="C33" s="10" t="s">
        <v>30</v>
      </c>
      <c r="D33" s="10"/>
      <c r="E33" s="10"/>
      <c r="F33" s="10"/>
      <c r="G33" s="10"/>
    </row>
    <row r="34" spans="1:7" x14ac:dyDescent="0.25">
      <c r="C34" s="10"/>
      <c r="D34" s="10"/>
      <c r="E34" s="10"/>
      <c r="F34" s="10"/>
      <c r="G34" s="10"/>
    </row>
    <row r="35" spans="1:7" x14ac:dyDescent="0.25">
      <c r="B35" t="s">
        <v>31</v>
      </c>
      <c r="C35" s="10" t="s">
        <v>32</v>
      </c>
      <c r="D35" s="10"/>
      <c r="E35" s="10"/>
      <c r="F35" s="10"/>
      <c r="G35" s="10"/>
    </row>
    <row r="36" spans="1:7" x14ac:dyDescent="0.25">
      <c r="A36" s="8"/>
      <c r="B36" s="8"/>
      <c r="C36" s="10"/>
      <c r="D36" s="10"/>
      <c r="E36" s="10"/>
      <c r="F36" s="10"/>
      <c r="G36" s="10"/>
    </row>
    <row r="39" spans="1:7" x14ac:dyDescent="0.25">
      <c r="A39" s="4" t="s">
        <v>3</v>
      </c>
      <c r="B39" s="4"/>
    </row>
    <row r="41" spans="1:7" x14ac:dyDescent="0.25">
      <c r="B41" t="s">
        <v>33</v>
      </c>
    </row>
    <row r="42" spans="1:7" x14ac:dyDescent="0.25">
      <c r="B42" t="s">
        <v>34</v>
      </c>
    </row>
    <row r="43" spans="1:7" x14ac:dyDescent="0.25">
      <c r="B43" t="s">
        <v>35</v>
      </c>
      <c r="C43">
        <f>(F15-1)*F7^2</f>
        <v>107.99999999999999</v>
      </c>
    </row>
    <row r="44" spans="1:7" x14ac:dyDescent="0.25">
      <c r="B44" t="s">
        <v>36</v>
      </c>
      <c r="C44">
        <f>_xlfn.CHISQ.INV((1+0.95)/2,F15-1)</f>
        <v>26.118948045037371</v>
      </c>
    </row>
    <row r="45" spans="1:7" x14ac:dyDescent="0.25">
      <c r="B45" t="s">
        <v>37</v>
      </c>
      <c r="C45" s="9">
        <f>_xlfn.CHISQ.INV((1-0.95)/2,F15-1)</f>
        <v>5.6287261030397326</v>
      </c>
    </row>
    <row r="46" spans="1:7" x14ac:dyDescent="0.25">
      <c r="B46" t="s">
        <v>27</v>
      </c>
      <c r="C46" s="9">
        <f>SQRT(C43/C44)</f>
        <v>2.0334525231316691</v>
      </c>
    </row>
    <row r="47" spans="1:7" x14ac:dyDescent="0.25">
      <c r="B47" t="s">
        <v>28</v>
      </c>
      <c r="C47">
        <f>SQRT(C43/C45)</f>
        <v>4.3803298948408047</v>
      </c>
    </row>
  </sheetData>
  <mergeCells count="4">
    <mergeCell ref="A39:B39"/>
    <mergeCell ref="A22:B22"/>
    <mergeCell ref="C33:G34"/>
    <mergeCell ref="C35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</dc:creator>
  <cp:lastModifiedBy>Diak</cp:lastModifiedBy>
  <dcterms:created xsi:type="dcterms:W3CDTF">2022-02-22T11:30:29Z</dcterms:created>
  <dcterms:modified xsi:type="dcterms:W3CDTF">2022-02-22T11:52:55Z</dcterms:modified>
</cp:coreProperties>
</file>